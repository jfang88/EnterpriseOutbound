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5aac23e2e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46e28444ba5542fb"/>
    <x:sheet xmlns:r="http://schemas.openxmlformats.org/officeDocument/2006/relationships" name="Reference" sheetId="2" r:id="R87710b1cd9b4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f75a795114206" /><Relationship Type="http://schemas.openxmlformats.org/officeDocument/2006/relationships/theme" Target="/xl/theme/theme1.xml" Id="Rc6351ddf82084b5f" /><Relationship Type="http://schemas.openxmlformats.org/officeDocument/2006/relationships/sharedStrings" Target="/xl/sharedStrings.xml" Id="R3231f56d6793429f" /><Relationship Type="http://schemas.openxmlformats.org/officeDocument/2006/relationships/worksheet" Target="/xl/worksheets/sheet1.xml" Id="R46e28444ba5542fb" /><Relationship Type="http://schemas.openxmlformats.org/officeDocument/2006/relationships/worksheet" Target="/xl/worksheets/sheet2.xml" Id="R87710b1cd9b441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43" hidden="0" customWidth="1"/>
    <x:col min="3" max="3" width="13" hidden="0" customWidth="1"/>
    <x:col min="4" max="4" width="24" hidden="0" customWidth="1"/>
    <x:col min="5" max="5" width="50" hidden="0" customWidth="1"/>
    <x:col min="6" max="6" width="30" hidden="0" customWidth="1"/>
    <x:col min="8" max="8" width="24" hidden="0" customWidth="1"/>
    <x:col min="9" max="9" width="60" hidden="0" customWidth="1"/>
    <x:col min="10" max="10" width="3" hidden="0" customWidth="1"/>
  </x:cols>
  <x:sheetData>
    <x:row r="1" ht="30" customHeight="1">
      <x:c r="A1" s="5" t="str">
        <x:v>Enterprise Outbound Egress Decision Checklist</x:v>
      </x:c>
      <x:c r="B1" s="5"/>
      <x:c r="C1" s="5"/>
      <x:c r="D1" s="5"/>
      <x:c r="E1" s="5"/>
      <x:c r="F1" s="5"/>
    </x:row>
    <x:row r="2">
      <x:c r="A2" s="12" t="str">
        <x:v>Version 0.2 — Simple checklist for deciding when DNS/L3-L4 controls may be sufficient and when stronger Layer-7/application-aware controls are justified.</x:v>
      </x:c>
      <x:c r="B2" s="12"/>
      <x:c r="C2" s="12"/>
      <x:c r="D2" s="12"/>
      <x:c r="E2" s="12"/>
      <x:c r="F2" s="12"/>
    </x:row>
    <x:row r="4">
      <x:c r="A4" s="16" t="str">
        <x:v>Use case / application</x:v>
      </x:c>
      <x:c r="B4" t="str"/>
      <x:c r="H4" s="27" t="str">
        <x:v>Decision Summary</x:v>
      </x:c>
      <x:c r="I4" s="27"/>
      <x:c r="J4" s="27"/>
    </x:row>
    <x:row r="5">
      <x:c r="A5" s="16" t="str">
        <x:v>Owner</x:v>
      </x:c>
      <x:c r="B5" t="str"/>
      <x:c r="H5" s="46" t="str">
        <x:v>L7/security drivers</x:v>
      </x:c>
      <x:c r="I5" s="41" t="n">
        <x:f>COUNTIF(C11,"Yes")+COUNTIF(C14:C18,"Yes")+COUNTIF(C21,"Yes")</x:f>
        <x:v>0</x:v>
      </x:c>
    </x:row>
    <x:row r="6">
      <x:c r="A6" s="16" t="str">
        <x:v>Source type</x:v>
      </x:c>
      <x:c r="B6" t="str">
        <x:v>Fixed-purpose server</x:v>
      </x:c>
      <x:c r="H6" s="46" t="str">
        <x:v>Constrained-workload indicators</x:v>
      </x:c>
      <x:c r="I6" s="41" t="n">
        <x:f>COUNTIF(C12:C13,"Yes")+COUNTIF(C17,"No")+COUNTIF(C21,"No")</x:f>
        <x:v>4</x:v>
      </x:c>
    </x:row>
    <x:row r="7">
      <x:c r="A7" s="16" t="str">
        <x:v>Internet access required?</x:v>
      </x:c>
      <x:c r="B7" t="str">
        <x:v>Yes</x:v>
      </x:c>
      <x:c r="H7" s="46" t="str">
        <x:v>Compensating controls present</x:v>
      </x:c>
      <x:c r="I7" s="41" t="n">
        <x:f>COUNTIF(C19:C20,"Yes")+COUNTIF(C24,"Yes")</x:f>
        <x:v>3</x:v>
      </x:c>
    </x:row>
    <x:row r="8">
      <x:c r="A8" s="16" t="str">
        <x:v>Business criticality</x:v>
      </x:c>
      <x:c r="B8" t="str">
        <x:v>High</x:v>
      </x:c>
      <x:c r="H8" s="46" t="str">
        <x:v>Recommended control</x:v>
      </x:c>
      <x:c r="I8" s="41" t="str">
        <x:f>IF(B7="No","NO GENERAL INTERNET ROUTE",IF(C11="Yes","L7 / SWG + endpoint controls recommended",IF(OR(C15="Yes",C16="Yes",C18="Yes",C21="Yes"),"Use L3/L4 baseline PLUS service-native, endpoint DLP or application-aware controls; consider L7 where it closes the identified gap",IF(AND(C12="Yes",C13="Yes",C19="Yes",C20="Yes"),"Protective DNS + restrictive L3/L4 egress may be sufficient; L7 optional","Enhanced review: strengthen constraints/compensating controls or add selective L7/application-aware enforcement"))))</x:f>
        <x:v>Protective DNS + restrictive L3/L4 egress may be sufficient; L7 optional</x:v>
      </x:c>
    </x:row>
    <x:row r="9">
      <x:c r="H9" s="46" t="str">
        <x:v>L7 availability note</x:v>
      </x:c>
      <x:c r="I9" s="41" t="str">
        <x:f>IF(OR(C22="High",C22="Critical",C23="Yes"),"L7 is a material availability/compatibility dependency. Require HA/failure-mode design; consider service-native/endpoint controls or controlled direct egress if security benefit is marginal.","Normal L7 availability engineering still applies, but no exceptional dependency is indicated by this checklist.")</x:f>
        <x:v>L7 is a material availability/compatibility dependency. Require HA/failure-mode design; consider service-native/endpoint controls or controlled direct egress if security benefit is marginal.</x:v>
      </x:c>
    </x:row>
    <x:row r="10">
      <x:c r="A10" s="40" t="str">
        <x:v>#</x:v>
      </x:c>
      <x:c r="B10" s="40" t="str">
        <x:v>Checklist question</x:v>
      </x:c>
      <x:c r="C10" s="40" t="str">
        <x:v>Answer</x:v>
      </x:c>
      <x:c r="D10" s="40" t="str">
        <x:v>Control signal</x:v>
      </x:c>
      <x:c r="E10" s="40" t="str">
        <x:v>Why it matters</x:v>
      </x:c>
      <x:c r="F10" s="40" t="str">
        <x:v>Notes / evidence</x:v>
      </x:c>
      <x:c r="H10" s="46" t="str">
        <x:v>Residual-risk statement</x:v>
      </x:c>
      <x:c r="I10" s="41" t="str">
        <x:f>IF(OR(C11="Yes",C15="Yes",C16="Yes",C18="Yes",C21="Yes"),"Residual risk: a permitted service/tenant may still be abused, and encrypted/application-layer traffic may prevent complete visibility. Validate logical recipient controls and assume-breach misuse.","Residual risk: without L7, network telemetry may show source, destination, protocol, timing and bytes but not the exact file, data fields, URL/API action or logical tenant/recipient. This may be acceptable for a tightly constrained managed workload if explicitly accepted.")</x:f>
        <x:v>Residual risk: without L7, network telemetry may show source, destination, protocol, timing and bytes but not the exact file, data fields, URL/API action or logical tenant/recipient. This may be acceptable for a tightly constrained managed workload if explicitly accepted.</x:v>
      </x:c>
    </x:row>
    <x:row r="11">
      <x:c r="A11" s="44" t="n">
        <x:v>1</x:v>
      </x:c>
      <x:c r="B11" s="41" t="str">
        <x:v>Is this an interactive human endpoint?</x:v>
      </x:c>
      <x:c r="C11" s="44" t="str">
        <x:v>No</x:v>
      </x:c>
      <x:c r="D11" s="41" t="str">
        <x:v>L7 driver</x:v>
      </x:c>
      <x:c r="E11" s="41" t="str">
        <x:v>Humans can dynamically choose files, sites, tenants, recipients and tools.</x:v>
      </x:c>
      <x:c r="F11" s="41" t="str"/>
      <x:c r="H11" s="46" t="str">
        <x:v>Architecture decision</x:v>
      </x:c>
      <x:c r="I11" s="41" t="str">
        <x:v>Record reviewer decision / exception / approval here.</x:v>
      </x:c>
    </x:row>
    <x:row r="12">
      <x:c r="A12" s="44" t="n">
        <x:v>2</x:v>
      </x:c>
      <x:c r="B12" s="41" t="str">
        <x:v>Is the workload fixed-purpose with no normal interactive user?</x:v>
      </x:c>
      <x:c r="C12" s="44" t="str">
        <x:v>Yes</x:v>
      </x:c>
      <x:c r="D12" s="41" t="str">
        <x:v>L3/L4 suitability</x:v>
      </x:c>
      <x:c r="E12" s="41" t="str">
        <x:v>Deterministic software and workflow reduce the permitted attack/exfiltration envelope.</x:v>
      </x:c>
      <x:c r="F12" s="41" t="str"/>
    </x:row>
    <x:row r="13">
      <x:c r="A13" s="44" t="n">
        <x:v>3</x:v>
      </x:c>
      <x:c r="B13" s="41" t="str">
        <x:v>Are Internet destinations limited to a small known set?</x:v>
      </x:c>
      <x:c r="C13" s="44" t="str">
        <x:v>Yes</x:v>
      </x:c>
      <x:c r="D13" s="41" t="str">
        <x:v>L3/L4 suitability</x:v>
      </x:c>
      <x:c r="E13" s="41" t="str">
        <x:v>Exact destination allowlisting is much stronger when endpoints are narrow and stable.</x:v>
      </x:c>
      <x:c r="F13" s="41" t="str"/>
    </x:row>
    <x:row r="14">
      <x:c r="A14" s="44" t="n">
        <x:v>4</x:v>
      </x:c>
      <x:c r="B14" s="41" t="str">
        <x:v>Can the source choose arbitrary files/data to send?</x:v>
      </x:c>
      <x:c r="C14" s="44" t="str">
        <x:v>No</x:v>
      </x:c>
      <x:c r="D14" s="41" t="str">
        <x:v>L7 / DLP driver</x:v>
      </x:c>
      <x:c r="E14" s="41" t="str">
        <x:v>Arbitrary data selection materially increases accidental and deliberate exfiltration risk.</x:v>
      </x:c>
      <x:c r="F14" s="41" t="str"/>
    </x:row>
    <x:row r="15">
      <x:c r="A15" s="44" t="n">
        <x:v>5</x:v>
      </x:c>
      <x:c r="B15" s="41" t="str">
        <x:v>Is any approved destination multi-tenant or able to address many accounts/recipients?</x:v>
      </x:c>
      <x:c r="C15" s="44" t="str">
        <x:v>No</x:v>
      </x:c>
      <x:c r="D15" s="41" t="str">
        <x:v>L7 / service-native driver</x:v>
      </x:c>
      <x:c r="E15" s="41" t="str">
        <x:v>An approved hostname may still contain attacker-controlled tenants, buckets, accounts or subscribers.</x:v>
      </x:c>
      <x:c r="F15" s="41" t="str"/>
    </x:row>
    <x:row r="16">
      <x:c r="A16" s="44" t="n">
        <x:v>6</x:v>
      </x:c>
      <x:c r="B16" s="41" t="str">
        <x:v>Can an approved external service accept uploads, messages or arbitrary data?</x:v>
      </x:c>
      <x:c r="C16" s="44" t="str">
        <x:v>No</x:v>
      </x:c>
      <x:c r="D16" s="41" t="str">
        <x:v>Assume-breach driver</x:v>
      </x:c>
      <x:c r="E16" s="41" t="str">
        <x:v>A compromised source may repurpose an already-approved service as an exfiltration sink.</x:v>
      </x:c>
      <x:c r="F16" s="41" t="str"/>
    </x:row>
    <x:row r="17">
      <x:c r="A17" s="44" t="n">
        <x:v>7</x:v>
      </x:c>
      <x:c r="B17" s="41" t="str">
        <x:v>Does the source have access to sensitive, regulated or high-value data?</x:v>
      </x:c>
      <x:c r="C17" s="44" t="str">
        <x:v>No</x:v>
      </x:c>
      <x:c r="D17" s="41" t="str">
        <x:v>Risk driver</x:v>
      </x:c>
      <x:c r="E17" s="41" t="str">
        <x:v>Higher data impact increases the consequence of any residual egress-control gap.</x:v>
      </x:c>
      <x:c r="F17" s="41" t="str"/>
    </x:row>
    <x:row r="18">
      <x:c r="A18" s="44" t="n">
        <x:v>8</x:v>
      </x:c>
      <x:c r="B18" s="41" t="str">
        <x:v>Do we need to know exactly what file/data/API action/tenant left the organisation?</x:v>
      </x:c>
      <x:c r="C18" s="44" t="str">
        <x:v>No</x:v>
      </x:c>
      <x:c r="D18" s="41" t="str">
        <x:v>L7 / DLP driver</x:v>
      </x:c>
      <x:c r="E18" s="41" t="str">
        <x:v>DNS/firewall telemetry normally shows source, destination, timing and bytes—not exact encrypted content.</x:v>
      </x:c>
      <x:c r="F18" s="41" t="str"/>
    </x:row>
    <x:row r="19">
      <x:c r="A19" s="44" t="n">
        <x:v>9</x:v>
      </x:c>
      <x:c r="B19" s="41" t="str">
        <x:v>Are endpoint/workload controls strong (EDR, hardening, app control, least privilege)?</x:v>
      </x:c>
      <x:c r="C19" s="44" t="str">
        <x:v>Yes</x:v>
      </x:c>
      <x:c r="D19" s="41" t="str">
        <x:v>Compensating control</x:v>
      </x:c>
      <x:c r="E19" s="41" t="str">
        <x:v>Strong host controls reduce the chance a compromised workload can execute arbitrary transfer/tunnel tools.</x:v>
      </x:c>
      <x:c r="F19" s="41" t="str"/>
    </x:row>
    <x:row r="20">
      <x:c r="A20" s="44" t="n">
        <x:v>10</x:v>
      </x:c>
      <x:c r="B20" s="41" t="str">
        <x:v>Does the external service restrict the enterprise identity to the approved tenant/account/partner?</x:v>
      </x:c>
      <x:c r="C20" s="44" t="str">
        <x:v>Yes</x:v>
      </x:c>
      <x:c r="D20" s="41" t="str">
        <x:v>Compensating control</x:v>
      </x:c>
      <x:c r="E20" s="41" t="str">
        <x:v>Service-native logical-recipient controls can close gaps that a network hostname cannot.</x:v>
      </x:c>
      <x:c r="F20" s="41" t="str"/>
    </x:row>
    <x:row r="21">
      <x:c r="A21" s="44" t="n">
        <x:v>11</x:v>
      </x:c>
      <x:c r="B21" s="41" t="str">
        <x:v>Assume breach: could an attacker use an approved destination as C2 or a data sink?</x:v>
      </x:c>
      <x:c r="C21" s="44" t="str">
        <x:v>No</x:v>
      </x:c>
      <x:c r="D21" s="41" t="str">
        <x:v>Assume-breach driver</x:v>
      </x:c>
      <x:c r="E21" s="41" t="str">
        <x:v>This is the key residual-risk test for tightly allowlisted workloads.</x:v>
      </x:c>
      <x:c r="F21" s="41" t="str"/>
    </x:row>
    <x:row r="22">
      <x:c r="A22" s="44" t="n">
        <x:v>12</x:v>
      </x:c>
      <x:c r="B22" s="41" t="str">
        <x:v>Would an L7 proxy/SWG outage cause a significant production outage?</x:v>
      </x:c>
      <x:c r="C22" s="44" t="str">
        <x:v>High</x:v>
      </x:c>
      <x:c r="D22" s="41" t="str">
        <x:v>L7 availability risk</x:v>
      </x:c>
      <x:c r="E22" s="41" t="str">
        <x:v>Inline security becomes part of the application's availability chain.</x:v>
      </x:c>
      <x:c r="F22" s="41" t="str"/>
    </x:row>
    <x:row r="23">
      <x:c r="A23" s="44" t="n">
        <x:v>13</x:v>
      </x:c>
      <x:c r="B23" s="41" t="str">
        <x:v>Is there meaningful L7 compatibility risk (mTLS, pinning, gRPC, WebSockets, custom protocol, latency)?</x:v>
      </x:c>
      <x:c r="C23" s="44" t="str">
        <x:v>No</x:v>
      </x:c>
      <x:c r="D23" s="41" t="str">
        <x:v>L7 availability risk</x:v>
      </x:c>
      <x:c r="E23" s="41" t="str">
        <x:v>Forcing unsupported inspection can cause outages or create permanent bypass exceptions.</x:v>
      </x:c>
      <x:c r="F23" s="41" t="str"/>
    </x:row>
    <x:row r="24">
      <x:c r="A24" s="44" t="n">
        <x:v>14</x:v>
      </x:c>
      <x:c r="B24" s="41" t="str">
        <x:v>Could the same security objective be met with endpoint, service-native or API controls instead of inline L7?</x:v>
      </x:c>
      <x:c r="C24" s="44" t="str">
        <x:v>Yes</x:v>
      </x:c>
      <x:c r="D24" s="41" t="str">
        <x:v>Alternative-control signal</x:v>
      </x:c>
      <x:c r="E24" s="41" t="str">
        <x:v>A lower-path-risk control may be preferable when it achieves the same security outcome.</x:v>
      </x:c>
      <x:c r="F24" s="41" t="str"/>
    </x:row>
  </x:sheetData>
  <x:mergeCells>
    <x:mergeCell ref="A1:F1"/>
    <x:mergeCell ref="A2:F2"/>
    <x:mergeCell ref="H4:J4"/>
  </x:mergeCells>
  <x:conditionalFormatting sqref="C11:C24">
    <x:cfRule type="expression" dxfId="0" priority="1">
      <x:formula>C11="Yes"</x:formula>
    </x:cfRule>
    <x:cfRule type="expression" dxfId="1" priority="2">
      <x:formula>C11="No"</x:formula>
    </x:cfRule>
  </x:conditionalFormatting>
  <x:conditionalFormatting sqref="C22:C22">
    <x:cfRule type="expression" dxfId="2" priority="3">
      <x:formula>OR(C22="High",C22="Critical")</x:formula>
    </x:cfRule>
  </x:conditionalFormatting>
  <x:dataValidations count="17">
    <x:dataValidation type="list" sqref="B6">
      <x:formula1>"Fixed-purpose server,Flexible/sensitive server,Interactive end user,Privileged/developer user,Crown-jewel/regulated system"</x:formula1>
    </x:dataValidation>
    <x:dataValidation type="list" sqref="B7">
      <x:formula1>"Yes,No"</x:formula1>
    </x:dataValidation>
    <x:dataValidation type="list" sqref="B8">
      <x:formula1>"Low,Medium,High,Critical"</x:formula1>
    </x:dataValidation>
    <x:dataValidation type="list" sqref="C11">
      <x:formula1>"Yes,No,N/A"</x:formula1>
    </x:dataValidation>
    <x:dataValidation type="list" sqref="C12">
      <x:formula1>"Yes,No,N/A"</x:formula1>
    </x:dataValidation>
    <x:dataValidation type="list" sqref="C13">
      <x:formula1>"Yes,No,N/A"</x:formula1>
    </x:dataValidation>
    <x:dataValidation type="list" sqref="C14">
      <x:formula1>"Yes,No,N/A"</x:formula1>
    </x:dataValidation>
    <x:dataValidation type="list" sqref="C15">
      <x:formula1>"Yes,No,N/A"</x:formula1>
    </x:dataValidation>
    <x:dataValidation type="list" sqref="C16">
      <x:formula1>"Yes,No,N/A"</x:formula1>
    </x:dataValidation>
    <x:dataValidation type="list" sqref="C17">
      <x:formula1>"Yes,No,N/A"</x:formula1>
    </x:dataValidation>
    <x:dataValidation type="list" sqref="C18">
      <x:formula1>"Yes,No,N/A"</x:formula1>
    </x:dataValidation>
    <x:dataValidation type="list" sqref="C19">
      <x:formula1>"Yes,No,N/A"</x:formula1>
    </x:dataValidation>
    <x:dataValidation type="list" sqref="C20">
      <x:formula1>"Yes,No,N/A"</x:formula1>
    </x:dataValidation>
    <x:dataValidation type="list" sqref="C21">
      <x:formula1>"Yes,No,N/A"</x:formula1>
    </x:dataValidation>
    <x:dataValidation type="list" sqref="C23">
      <x:formula1>"Yes,No,N/A"</x:formula1>
    </x:dataValidation>
    <x:dataValidation type="list" sqref="C24">
      <x:formula1>"Yes,No,N/A"</x:formula1>
    </x:dataValidation>
    <x:dataValidation type="list" sqref="C22">
      <x:formula1>"Low,Medium,High,Critical"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7" hidden="0" customWidth="1"/>
    <x:col min="3" max="3" width="42" hidden="0" customWidth="1"/>
    <x:col min="4" max="4" width="50" hidden="0" customWidth="1"/>
    <x:col min="5" max="5" width="40" hidden="0" customWidth="1"/>
  </x:cols>
  <x:sheetData>
    <x:row r="1">
      <x:c r="A1" s="49" t="str">
        <x:v>Quick Reference — Outbound Egress Control Patterns</x:v>
      </x:c>
      <x:c r="B1" s="49"/>
      <x:c r="C1" s="49"/>
      <x:c r="D1" s="49"/>
      <x:c r="E1" s="49"/>
    </x:row>
    <x:row r="3">
      <x:c r="A3" s="52" t="str">
        <x:v>Pattern</x:v>
      </x:c>
      <x:c r="B3" s="52" t="str">
        <x:v>Best fit</x:v>
      </x:c>
      <x:c r="C3" s="52" t="str">
        <x:v>Primary benefit</x:v>
      </x:c>
      <x:c r="D3" s="52" t="str">
        <x:v>Residual risk / visibility gap</x:v>
      </x:c>
      <x:c r="E3" s="52" t="str">
        <x:v>Availability trade-off</x:v>
      </x:c>
    </x:row>
    <x:row r="4">
      <x:c r="A4" s="54" t="str">
        <x:v>Protective DNS + restrictive L3/L4</x:v>
      </x:c>
      <x:c r="B4" s="37" t="str">
        <x:v>Fixed-purpose managed server with small known endpoint set</x:v>
      </x:c>
      <x:c r="C4" s="37" t="str">
        <x:v>Strong where-can-it-connect control with low protocol interference</x:v>
      </x:c>
      <x:c r="D4" s="37" t="str">
        <x:v>May not know exact encrypted file/data/API action/tenant; approved endpoint may be abused under breach</x:v>
      </x:c>
      <x:c r="E4" s="37" t="str">
        <x:v>Lower inline complexity and generally lower production-path risk</x:v>
      </x:c>
    </x:row>
    <x:row r="5">
      <x:c r="A5" s="54" t="str">
        <x:v>Selective L7 / application-aware gateway</x:v>
      </x:c>
      <x:c r="B5" s="37" t="str">
        <x:v>Multi-tenant SaaS/API, upload-capable service, sensitive data or transaction-level policy need</x:v>
      </x:c>
      <x:c r="C5" s="37" t="str">
        <x:v>URL/API/tenant/content visibility and richer policy where supported</x:v>
      </x:c>
      <x:c r="D5" s="37" t="str">
        <x:v>Still limited by mTLS/pinning, app-layer encryption, encrypted archives and valid-but-malicious transactions</x:v>
      </x:c>
      <x:c r="E5" s="37" t="str">
        <x:v>Adds latency, compatibility, capacity and outage/failure-mode dependencies</x:v>
      </x:c>
    </x:row>
    <x:row r="6">
      <x:c r="A6" s="54" t="str">
        <x:v>Identity-aware SWG + endpoint DLP</x:v>
      </x:c>
      <x:c r="B6" s="37" t="str">
        <x:v>Interactive human web access</x:v>
      </x:c>
      <x:c r="C6" s="37" t="str">
        <x:v>Controls user choice, uploads/downloads, SaaS access and data movement</x:v>
      </x:c>
      <x:c r="D6" s="37" t="str">
        <x:v>Legitimate SaaS and encrypted content can still be abused</x:v>
      </x:c>
      <x:c r="E6" s="37" t="str">
        <x:v>Requires resilient regional service and fail-open/fail-closed design</x:v>
      </x:c>
    </x:row>
    <x:row r="7">
      <x:c r="A7" s="54" t="str">
        <x:v>Service-native tenant/account restrictions</x:v>
      </x:c>
      <x:c r="B7" s="37" t="str">
        <x:v>M365, cloud storage, managed SFTP, other multi-tenant services</x:v>
      </x:c>
      <x:c r="C7" s="37" t="str">
        <x:v>Controls logical tenant/account/recipient beyond hostname</x:v>
      </x:c>
      <x:c r="D7" s="37" t="str">
        <x:v>Approved account itself can still be compromised or misused</x:v>
      </x:c>
      <x:c r="E7" s="37" t="str">
        <x:v>Often lower path risk than generic interception; provider-specific</x:v>
      </x:c>
    </x:row>
    <x:row r="8">
      <x:c r="A8" s="54" t="str">
        <x:v>No Internet / private connectivity / MFT</x:v>
      </x:c>
      <x:c r="B8" s="37" t="str">
        <x:v>Crown-jewel systems or highly sensitive transfer</x:v>
      </x:c>
      <x:c r="C8" s="37" t="str">
        <x:v>Removes or tightly brokers general Internet egress</x:v>
      </x:c>
      <x:c r="D8" s="37" t="str">
        <x:v>Lateral movement/internal misuse still require controls</x:v>
      </x:c>
      <x:c r="E8" s="37" t="str">
        <x:v>May require dedicated integration and operational platform</x:v>
      </x:c>
    </x:row>
  </x:sheetData>
  <x:mergeCells>
    <x:mergeCell ref="A1:E1"/>
  </x:mergeCells>
  <x:pageMargins left="0.7" right="0.7" top="0.75" bottom="0.75" header="0.3" footer="0.3"/>
</x:worksheet>
</file>